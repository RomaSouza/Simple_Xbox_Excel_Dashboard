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omário\Downloads\"/>
    </mc:Choice>
  </mc:AlternateContent>
  <bookViews>
    <workbookView xWindow="0" yWindow="0" windowWidth="2370" windowHeight="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52511"/>
  <pivotCaches>
    <pivotCache cacheId="1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3" l="1"/>
  <c r="C45" i="3"/>
</calcChain>
</file>

<file path=xl/sharedStrings.xml><?xml version="1.0" encoding="utf-8"?>
<sst xmlns="http://schemas.openxmlformats.org/spreadsheetml/2006/main" count="2025" uniqueCount="327">
  <si>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</si>
  <si>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</si>
  <si>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</si>
  <si>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</si>
  <si>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</si>
  <si>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</si>
  <si>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</si>
  <si>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</si>
  <si>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</si>
  <si>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</si>
  <si>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</si>
  <si>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</si>
  <si>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</si>
  <si>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</si>
  <si>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</si>
  <si>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</si>
  <si>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</si>
  <si>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</si>
  <si>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</si>
  <si>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</si>
  <si>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</si>
  <si>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</si>
  <si>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</si>
  <si>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</si>
  <si>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</si>
  <si>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</si>
  <si>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</si>
  <si>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</si>
  <si>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</si>
  <si>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</si>
  <si>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</si>
  <si>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</si>
  <si>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</si>
  <si>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</si>
  <si>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</si>
  <si>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</si>
  <si>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</si>
  <si>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</si>
  <si>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</si>
  <si>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</si>
  <si>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</si>
  <si>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</si>
  <si>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</si>
  <si>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</si>
  <si>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</si>
  <si>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</si>
  <si>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</si>
  <si>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</si>
  <si>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</si>
  <si>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</si>
  <si>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</si>
  <si>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</si>
  <si>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</si>
  <si>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</si>
  <si>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</si>
  <si>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</si>
  <si>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</si>
  <si>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</si>
  <si>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</si>
  <si>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</si>
  <si>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</si>
  <si>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</si>
  <si>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</si>
  <si>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</si>
  <si>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</si>
  <si>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</si>
  <si>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</si>
  <si>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</si>
  <si>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</si>
  <si>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</si>
  <si>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</si>
  <si>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</si>
  <si>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</si>
  <si>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</si>
  <si>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</si>
  <si>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</si>
  <si>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</si>
  <si>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</si>
  <si>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</si>
  <si>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</si>
  <si>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</si>
  <si>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</si>
  <si>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</si>
  <si>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</si>
  <si>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</si>
  <si>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</si>
  <si>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</si>
  <si>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</si>
  <si>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</si>
  <si>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</si>
  <si>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</si>
  <si>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</si>
  <si>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</si>
  <si>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</si>
  <si>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</si>
  <si>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</si>
  <si>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</si>
  <si>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</si>
  <si>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</si>
  <si>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</si>
  <si>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</si>
  <si>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</si>
  <si>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</si>
  <si>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</si>
  <si>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</si>
  <si>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</si>
  <si>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</si>
  <si>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</si>
  <si>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</si>
  <si>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</si>
  <si>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</si>
  <si>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</si>
  <si>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</si>
  <si>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</si>
  <si>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</si>
  <si>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</si>
  <si>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</si>
  <si>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</si>
  <si>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</si>
  <si>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</si>
  <si>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</si>
  <si>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</si>
  <si>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</si>
  <si>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</si>
  <si>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</si>
  <si>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</si>
  <si>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</si>
  <si>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</si>
  <si>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</si>
  <si>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</si>
  <si>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</si>
  <si>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</si>
  <si>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</si>
  <si>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</si>
  <si>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</si>
  <si>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</si>
  <si>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</si>
  <si>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</si>
  <si>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</si>
  <si>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</si>
  <si>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</si>
  <si>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</si>
  <si>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</si>
  <si>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</si>
  <si>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</si>
  <si>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</si>
  <si>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</si>
  <si>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</si>
  <si>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</si>
  <si>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</si>
  <si>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</si>
  <si>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</si>
  <si>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</si>
  <si>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</si>
  <si>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</si>
  <si>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</si>
  <si>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</si>
  <si>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</si>
  <si>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</si>
  <si>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</si>
  <si>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</si>
  <si>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</si>
  <si>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</si>
  <si>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</si>
  <si>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</si>
  <si>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</si>
  <si>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</si>
  <si>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</si>
  <si>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</si>
  <si>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</si>
  <si>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</si>
  <si>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</si>
  <si>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</si>
  <si>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</si>
  <si>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</si>
  <si>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</si>
  <si>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</si>
  <si>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</si>
  <si>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</si>
  <si>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</si>
  <si>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</si>
  <si>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</si>
  <si>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</si>
  <si>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</si>
  <si>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</si>
  <si>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</si>
  <si>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</si>
  <si>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</si>
  <si>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</si>
  <si>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</si>
  <si>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</si>
  <si>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</si>
  <si>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</si>
  <si>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</si>
  <si>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</si>
  <si>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</si>
  <si>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</si>
  <si>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</si>
  <si>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</si>
  <si>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</si>
  <si>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</si>
  <si>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</si>
  <si>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</si>
  <si>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</si>
  <si>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</si>
  <si>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</si>
  <si>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</si>
  <si>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</si>
  <si>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</si>
  <si>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</si>
  <si>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</si>
  <si>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</si>
  <si>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</si>
  <si>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</si>
  <si>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</si>
  <si>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</si>
  <si>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</si>
  <si>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</si>
  <si>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</si>
  <si>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</si>
  <si>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</si>
  <si>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</si>
  <si>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</si>
  <si>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</si>
  <si>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</si>
  <si>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</si>
  <si>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</si>
  <si>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</si>
  <si>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</si>
  <si>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</si>
  <si>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</si>
  <si>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</si>
  <si>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</si>
  <si>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</si>
  <si>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</si>
  <si>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</si>
  <si>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</si>
  <si>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</si>
  <si>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</si>
  <si>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</si>
  <si>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</si>
  <si>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</si>
  <si>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</si>
  <si>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</si>
  <si>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</si>
  <si>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</si>
  <si>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</si>
  <si>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</si>
  <si>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</si>
  <si>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</si>
  <si>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</si>
  <si>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</si>
  <si>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</si>
  <si>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</si>
  <si>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</si>
  <si>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</si>
  <si>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</si>
  <si>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</si>
  <si>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</si>
  <si>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</si>
  <si>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</si>
  <si>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</si>
  <si>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</si>
  <si>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</si>
  <si>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</si>
  <si>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</si>
  <si>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</si>
  <si>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</si>
  <si>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</si>
  <si>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</si>
  <si>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</si>
  <si>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</si>
  <si>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</si>
  <si>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</si>
  <si>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</si>
  <si>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</si>
  <si>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</si>
  <si>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</si>
  <si>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</si>
  <si>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</si>
  <si>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</si>
  <si>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</si>
  <si>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</si>
  <si>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</si>
  <si>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</si>
  <si>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</si>
  <si>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</si>
  <si>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</si>
  <si>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</si>
  <si>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</si>
  <si>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</si>
  <si>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</si>
  <si>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</si>
  <si>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</si>
  <si>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</si>
  <si>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</si>
  <si>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</si>
  <si>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</si>
  <si>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</si>
  <si>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</si>
  <si>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</si>
  <si>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</si>
  <si>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</si>
  <si>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</si>
  <si>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</si>
  <si>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</si>
  <si>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</si>
  <si>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</si>
  <si>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</si>
  <si>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</si>
  <si>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</si>
  <si>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</si>
  <si>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</si>
  <si>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1 - Qual faturamento de vendas de planos anuais (contendo todas as assinaturas agregadas)</t>
  </si>
  <si>
    <t>Pergunta de Negócio 2 - Qual o faturamento Total de vendas de planos anuais , separado por autorenovação</t>
  </si>
  <si>
    <t>Rótulos de Linha</t>
  </si>
  <si>
    <t>Total Geral</t>
  </si>
  <si>
    <t>Soma de Minecraft Season Pass Price</t>
  </si>
  <si>
    <t>Soma de Total Value</t>
  </si>
  <si>
    <t>XBOX GAMEPASS SUBSCRIPTION SALES</t>
  </si>
  <si>
    <t>Pergunta de Negócio 3 - Total de vendas de assinaturas do EA Play</t>
  </si>
  <si>
    <t>Soma de EA Play Season Pass</t>
  </si>
  <si>
    <t>;</t>
  </si>
  <si>
    <t>Total de vendas de assinaturas do EA Play</t>
  </si>
  <si>
    <t>Pergunta de Negócio 4 - Total de vendas de assinaturas do Minecraft SP</t>
  </si>
  <si>
    <t>Total de vendas de assinaturas do Minecraft SP</t>
  </si>
  <si>
    <t>Last Update - 16/04/26 | Apuration Date: 31/12/24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</si>
</sst>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4" fillId="0" borderId="1" xfId="1" applyFont="1"/>
    <xf numFmtId="44" fontId="0" fillId="0" borderId="0" xfId="2" applyFont="1"/>
    <xf numFmtId="0" fontId="0" fillId="7" borderId="0" xfId="0" applyFill="1" applyAlignment="1">
      <alignment vertical="top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fgColor indexed="64"/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>
      <tableStyleElement type="wholeTable" dxfId="1"/>
      <tableStyleElement type="headerRow" dxfId="0"/>
    </tableStyle>
  </tableStyles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DIO Dashboard.xlsx]C̳álculos!Valor Anual</c:name>
    <c:fmtId val="0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1"/>
      </c:pivotFmt>
    </c:pivotFmts>
    <c:plotArea>
      <c:layout>
        <c:manualLayout>
          <c:layoutTarget val="inner"/>
          <c:xMode val="edge"/>
          <c:yMode val="edge"/>
          <c:x val="0.31237723767501197"/>
          <c:y val="0.14249781277340332"/>
          <c:w val="0.66904691093179913"/>
          <c:h val="0.806576261300670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multiLvlStrRef>
              <c:f>C̳álculos!$D$13:$D$16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Monthly</c:v>
                  </c:pt>
                </c:lvl>
              </c:multiLvlStrCache>
            </c:multiLvlStrRef>
          </c:cat>
          <c:val>
            <c:numRef>
              <c:f>C̳álculos!$E$13:$E$16</c:f>
              <c:numCache>
                <c:formatCode>General</c:formatCode>
                <c:ptCount val="2"/>
                <c:pt idx="0">
                  <c:v>2820</c:v>
                </c:pt>
                <c:pt idx="1">
                  <c:v>747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628563712"/>
        <c:axId val="-534048000"/>
      </c:barChart>
      <c:catAx>
        <c:axId val="-628563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534048000"/>
        <c:crosses val="autoZero"/>
        <c:auto val="1"/>
        <c:lblAlgn val="ctr"/>
        <c:lblOffset val="100"/>
        <c:noMultiLvlLbl val="0"/>
      </c:catAx>
      <c:valAx>
        <c:axId val="-5340480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62856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DIO Dashboard.xlsx]C̳álculos!Valor Anual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1"/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1647171207976921"/>
          <c:y val="0.13344056835751411"/>
          <c:w val="0.66904691093179913"/>
          <c:h val="0.806576261300670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multiLvlStrRef>
              <c:f>C̳álculos!$D$13:$D$16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Monthly</c:v>
                  </c:pt>
                </c:lvl>
              </c:multiLvlStrCache>
            </c:multiLvlStrRef>
          </c:cat>
          <c:val>
            <c:numRef>
              <c:f>C̳álculos!$E$13:$E$16</c:f>
              <c:numCache>
                <c:formatCode>General</c:formatCode>
                <c:ptCount val="2"/>
                <c:pt idx="0">
                  <c:v>2820</c:v>
                </c:pt>
                <c:pt idx="1">
                  <c:v>747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215512000"/>
        <c:axId val="-215511456"/>
      </c:barChart>
      <c:catAx>
        <c:axId val="-21551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15511456"/>
        <c:crosses val="autoZero"/>
        <c:auto val="1"/>
        <c:lblAlgn val="ctr"/>
        <c:lblOffset val="100"/>
        <c:noMultiLvlLbl val="0"/>
      </c:catAx>
      <c:valAx>
        <c:axId val="-2155114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21551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image" Target="../media/image2.png"/><Relationship Id="rId11" Type="http://schemas.openxmlformats.org/officeDocument/2006/relationships/image" Target="../media/image5.png"/><Relationship Id="rId5" Type="http://schemas.openxmlformats.org/officeDocument/2006/relationships/image" Target="../media/image8.png"/><Relationship Id="rId10" Type="http://schemas.openxmlformats.org/officeDocument/2006/relationships/image" Target="../media/image10.sv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xmlns="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xmlns="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xmlns="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xmlns="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xmlns="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723900</xdr:colOff>
      <xdr:row>11</xdr:row>
      <xdr:rowOff>114300</xdr:rowOff>
    </xdr:from>
    <xdr:to>
      <xdr:col>10</xdr:col>
      <xdr:colOff>1362075</xdr:colOff>
      <xdr:row>26</xdr:row>
      <xdr:rowOff>142875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409575</xdr:colOff>
      <xdr:row>21</xdr:row>
      <xdr:rowOff>38101</xdr:rowOff>
    </xdr:from>
    <xdr:to>
      <xdr:col>5</xdr:col>
      <xdr:colOff>781050</xdr:colOff>
      <xdr:row>28</xdr:row>
      <xdr:rowOff>85726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15100" y="3838576"/>
              <a:ext cx="182880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447334</xdr:colOff>
      <xdr:row>0</xdr:row>
      <xdr:rowOff>11562</xdr:rowOff>
    </xdr:from>
    <xdr:to>
      <xdr:col>0</xdr:col>
      <xdr:colOff>1494716</xdr:colOff>
      <xdr:row>5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56" t="14660" r="72300" b="13263"/>
        <a:stretch/>
      </xdr:blipFill>
      <xdr:spPr>
        <a:xfrm>
          <a:off x="447334" y="11562"/>
          <a:ext cx="1047382" cy="1150488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20</xdr:row>
      <xdr:rowOff>38100</xdr:rowOff>
    </xdr:from>
    <xdr:to>
      <xdr:col>17</xdr:col>
      <xdr:colOff>57150</xdr:colOff>
      <xdr:row>36</xdr:row>
      <xdr:rowOff>161925</xdr:rowOff>
    </xdr:to>
    <xdr:grpSp>
      <xdr:nvGrpSpPr>
        <xdr:cNvPr id="6" name="Grupo 5"/>
        <xdr:cNvGrpSpPr/>
      </xdr:nvGrpSpPr>
      <xdr:grpSpPr>
        <a:xfrm>
          <a:off x="2457450" y="3924300"/>
          <a:ext cx="9791700" cy="3019425"/>
          <a:chOff x="2324100" y="4057650"/>
          <a:chExt cx="6619374" cy="3019425"/>
        </a:xfrm>
      </xdr:grpSpPr>
      <xdr:sp macro="" textlink="">
        <xdr:nvSpPr>
          <xdr:cNvPr id="5" name="Retângulo de cantos arredondados 4"/>
          <xdr:cNvSpPr/>
        </xdr:nvSpPr>
        <xdr:spPr>
          <a:xfrm>
            <a:off x="2324100" y="4057650"/>
            <a:ext cx="6591300" cy="301942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/>
          <xdr:cNvGraphicFramePr>
            <a:graphicFrameLocks/>
          </xdr:cNvGraphicFramePr>
        </xdr:nvGraphicFramePr>
        <xdr:xfrm>
          <a:off x="2739978" y="4158343"/>
          <a:ext cx="6203496" cy="28044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95250</xdr:colOff>
      <xdr:row>9</xdr:row>
      <xdr:rowOff>35380</xdr:rowOff>
    </xdr:from>
    <xdr:to>
      <xdr:col>0</xdr:col>
      <xdr:colOff>1924050</xdr:colOff>
      <xdr:row>16</xdr:row>
      <xdr:rowOff>70757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1930855"/>
              <a:ext cx="1828800" cy="13022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238125</xdr:colOff>
      <xdr:row>6</xdr:row>
      <xdr:rowOff>314324</xdr:rowOff>
    </xdr:from>
    <xdr:to>
      <xdr:col>9</xdr:col>
      <xdr:colOff>104775</xdr:colOff>
      <xdr:row>15</xdr:row>
      <xdr:rowOff>38100</xdr:rowOff>
    </xdr:to>
    <xdr:grpSp>
      <xdr:nvGrpSpPr>
        <xdr:cNvPr id="17" name="Grupo 16"/>
        <xdr:cNvGrpSpPr/>
      </xdr:nvGrpSpPr>
      <xdr:grpSpPr>
        <a:xfrm>
          <a:off x="2552700" y="1485899"/>
          <a:ext cx="4438650" cy="1533526"/>
          <a:chOff x="2647950" y="1495424"/>
          <a:chExt cx="4667250" cy="1600201"/>
        </a:xfrm>
      </xdr:grpSpPr>
      <xdr:grpSp>
        <xdr:nvGrpSpPr>
          <xdr:cNvPr id="16" name="Grupo 15"/>
          <xdr:cNvGrpSpPr/>
        </xdr:nvGrpSpPr>
        <xdr:grpSpPr>
          <a:xfrm>
            <a:off x="2647950" y="1495424"/>
            <a:ext cx="4667250" cy="1562101"/>
            <a:chOff x="2647950" y="1495424"/>
            <a:chExt cx="4667250" cy="1562101"/>
          </a:xfrm>
        </xdr:grpSpPr>
        <xdr:sp macro="" textlink="">
          <xdr:nvSpPr>
            <xdr:cNvPr id="8" name="Retângulo de cantos arredondados 7"/>
            <xdr:cNvSpPr/>
          </xdr:nvSpPr>
          <xdr:spPr>
            <a:xfrm>
              <a:off x="2656211" y="1504950"/>
              <a:ext cx="4658989" cy="155257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C34">
          <xdr:nvSpPr>
            <xdr:cNvPr id="15" name="Arredondar Retângulo no Mesmo Canto Lateral 14"/>
            <xdr:cNvSpPr/>
          </xdr:nvSpPr>
          <xdr:spPr>
            <a:xfrm>
              <a:off x="2647950" y="1495424"/>
              <a:ext cx="4667250" cy="31432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89604570-C5B5-4DAC-B772-CBF227757D41}" type="TxLink">
                <a:rPr lang="en-US" sz="1100" b="0" i="0" u="none" strike="noStrike">
                  <a:solidFill>
                    <a:schemeClr val="bg1"/>
                  </a:solidFill>
                  <a:latin typeface="Bahnschrift" panose="020B0502040204020203" pitchFamily="34" charset="0"/>
                </a:rPr>
                <a:pPr algn="ctr"/>
                <a:t>Total de vendas de assinaturas do EA Play</a:t>
              </a:fld>
              <a:endParaRPr lang="pt-BR" sz="1100">
                <a:solidFill>
                  <a:schemeClr val="bg1"/>
                </a:solidFill>
                <a:latin typeface="Bahnschrift" panose="020B0502040204020203" pitchFamily="34" charset="0"/>
              </a:endParaRPr>
            </a:p>
          </xdr:txBody>
        </xdr:sp>
      </xdr:grpSp>
      <xdr:sp macro="" textlink="C̳álculos!C45">
        <xdr:nvSpPr>
          <xdr:cNvPr id="7" name="Retângulo de cantos arredondados 6"/>
          <xdr:cNvSpPr/>
        </xdr:nvSpPr>
        <xdr:spPr>
          <a:xfrm>
            <a:off x="4333875" y="1809750"/>
            <a:ext cx="2838450" cy="115252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C92A734-27A9-453C-AAA2-34B12B068269}" type="TxLink">
              <a:rPr lang="en-US" sz="3200" b="1" i="0" u="none" strike="noStrike">
                <a:solidFill>
                  <a:srgbClr val="000000"/>
                </a:solidFill>
                <a:latin typeface="Arial Unicode MS" panose="020B0604020202020204" pitchFamily="34" charset="-128"/>
                <a:ea typeface="Arial Unicode MS" panose="020B0604020202020204" pitchFamily="34" charset="-128"/>
                <a:cs typeface="Arial Unicode MS" panose="020B0604020202020204" pitchFamily="34" charset="-128"/>
              </a:rPr>
              <a:pPr algn="ctr"/>
              <a:t> R$ 1.350,00 </a:t>
            </a:fld>
            <a:endParaRPr lang="pt-BR" sz="8800" b="1">
              <a:latin typeface="Arial Unicode MS" panose="020B0604020202020204" pitchFamily="34" charset="-128"/>
              <a:ea typeface="Arial Unicode MS" panose="020B0604020202020204" pitchFamily="34" charset="-128"/>
              <a:cs typeface="Arial Unicode MS" panose="020B0604020202020204" pitchFamily="34" charset="-128"/>
            </a:endParaRPr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xmlns="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38450" y="1654969"/>
            <a:ext cx="1571625" cy="1440656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561975</xdr:colOff>
      <xdr:row>6</xdr:row>
      <xdr:rowOff>314324</xdr:rowOff>
    </xdr:from>
    <xdr:to>
      <xdr:col>16</xdr:col>
      <xdr:colOff>609600</xdr:colOff>
      <xdr:row>15</xdr:row>
      <xdr:rowOff>0</xdr:rowOff>
    </xdr:to>
    <xdr:grpSp>
      <xdr:nvGrpSpPr>
        <xdr:cNvPr id="19" name="Grupo 18"/>
        <xdr:cNvGrpSpPr/>
      </xdr:nvGrpSpPr>
      <xdr:grpSpPr>
        <a:xfrm>
          <a:off x="7448550" y="1485899"/>
          <a:ext cx="4667250" cy="1495426"/>
          <a:chOff x="2647950" y="1495424"/>
          <a:chExt cx="4667250" cy="1562101"/>
        </a:xfrm>
      </xdr:grpSpPr>
      <xdr:sp macro="" textlink="">
        <xdr:nvSpPr>
          <xdr:cNvPr id="22" name="Retângulo de cantos arredondados 21"/>
          <xdr:cNvSpPr/>
        </xdr:nvSpPr>
        <xdr:spPr>
          <a:xfrm>
            <a:off x="2656211" y="1504950"/>
            <a:ext cx="4658989" cy="15525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62">
        <xdr:nvSpPr>
          <xdr:cNvPr id="23" name="Arredondar Retângulo no Mesmo Canto Lateral 22"/>
          <xdr:cNvSpPr/>
        </xdr:nvSpPr>
        <xdr:spPr>
          <a:xfrm>
            <a:off x="2647950" y="1495424"/>
            <a:ext cx="4667250" cy="3143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6891421A-5A7C-4BE1-B54D-6D8819A0FE3B}" type="TxLink">
              <a:rPr lang="en-US" sz="1100" b="0" i="0" u="none" strike="noStrike">
                <a:solidFill>
                  <a:schemeClr val="bg1"/>
                </a:solidFill>
                <a:latin typeface="Bahnschrift" panose="020B0502040204020203" pitchFamily="34" charset="0"/>
              </a:rPr>
              <a:t>Total de vendas de assinaturas do Minecraft SP</a:t>
            </a:fld>
            <a:endParaRPr lang="pt-BR" sz="1100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12</xdr:col>
      <xdr:colOff>552450</xdr:colOff>
      <xdr:row>8</xdr:row>
      <xdr:rowOff>0</xdr:rowOff>
    </xdr:from>
    <xdr:to>
      <xdr:col>16</xdr:col>
      <xdr:colOff>647700</xdr:colOff>
      <xdr:row>14</xdr:row>
      <xdr:rowOff>57150</xdr:rowOff>
    </xdr:to>
    <xdr:sp macro="" textlink="C̳álculos!C61">
      <xdr:nvSpPr>
        <xdr:cNvPr id="20" name="Retângulo de cantos arredondados 19"/>
        <xdr:cNvSpPr/>
      </xdr:nvSpPr>
      <xdr:spPr>
        <a:xfrm>
          <a:off x="9544050" y="1733550"/>
          <a:ext cx="2838450" cy="11525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B0E4B608-9C91-4AB8-9F4E-E940A21990FE}" type="TxLink">
            <a:rPr lang="en-US" sz="3200" b="1" i="0" u="none" strike="noStrike">
              <a:solidFill>
                <a:srgbClr val="000000"/>
              </a:solidFill>
              <a:latin typeface="Arial Unicode MS" panose="020B0604020202020204" pitchFamily="34" charset="-128"/>
              <a:ea typeface="Arial Unicode MS" panose="020B0604020202020204" pitchFamily="34" charset="-128"/>
              <a:cs typeface="Arial Unicode MS" panose="020B0604020202020204" pitchFamily="34" charset="-128"/>
            </a:rPr>
            <a:pPr marL="0" indent="0" algn="ctr"/>
            <a:t> R$ 1.800,00 </a:t>
          </a:fld>
          <a:endParaRPr lang="pt-BR" sz="3200" b="1" i="0" u="none" strike="noStrike">
            <a:solidFill>
              <a:srgbClr val="000000"/>
            </a:solidFill>
            <a:latin typeface="Arial Unicode MS" panose="020B0604020202020204" pitchFamily="34" charset="-128"/>
            <a:ea typeface="Arial Unicode MS" panose="020B0604020202020204" pitchFamily="34" charset="-128"/>
            <a:cs typeface="Arial Unicode MS" panose="020B0604020202020204" pitchFamily="34" charset="-128"/>
          </a:endParaRPr>
        </a:p>
      </xdr:txBody>
    </xdr:sp>
    <xdr:clientData/>
  </xdr:twoCellAnchor>
  <xdr:twoCellAnchor editAs="absolute">
    <xdr:from>
      <xdr:col>10</xdr:col>
      <xdr:colOff>142875</xdr:colOff>
      <xdr:row>9</xdr:row>
      <xdr:rowOff>54769</xdr:rowOff>
    </xdr:from>
    <xdr:to>
      <xdr:col>12</xdr:col>
      <xdr:colOff>676275</xdr:colOff>
      <xdr:row>13</xdr:row>
      <xdr:rowOff>38100</xdr:rowOff>
    </xdr:to>
    <xdr:grpSp>
      <xdr:nvGrpSpPr>
        <xdr:cNvPr id="24" name="Agrupar 16">
          <a:extLst>
            <a:ext uri="{FF2B5EF4-FFF2-40B4-BE49-F238E27FC236}">
              <a16:creationId xmlns:a16="http://schemas.microsoft.com/office/drawing/2014/main" xmlns="" id="{A71E6AF1-ADEE-EB3B-0380-7B4EF5640C97}"/>
            </a:ext>
          </a:extLst>
        </xdr:cNvPr>
        <xdr:cNvGrpSpPr/>
      </xdr:nvGrpSpPr>
      <xdr:grpSpPr>
        <a:xfrm>
          <a:off x="7715250" y="1950244"/>
          <a:ext cx="1724025" cy="707231"/>
          <a:chOff x="3495675" y="5400674"/>
          <a:chExt cx="1549476" cy="752476"/>
        </a:xfrm>
      </xdr:grpSpPr>
      <xdr:pic>
        <xdr:nvPicPr>
          <xdr:cNvPr id="25" name="Imagem 24">
            <a:extLst>
              <a:ext uri="{FF2B5EF4-FFF2-40B4-BE49-F238E27FC236}">
                <a16:creationId xmlns:a16="http://schemas.microsoft.com/office/drawing/2014/main" xmlns="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6" name="Gráfico 13">
            <a:extLst>
              <a:ext uri="{FF2B5EF4-FFF2-40B4-BE49-F238E27FC236}">
                <a16:creationId xmlns:a16="http://schemas.microsoft.com/office/drawing/2014/main" xmlns="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133349</xdr:colOff>
      <xdr:row>19</xdr:row>
      <xdr:rowOff>152400</xdr:rowOff>
    </xdr:from>
    <xdr:to>
      <xdr:col>17</xdr:col>
      <xdr:colOff>19049</xdr:colOff>
      <xdr:row>22</xdr:row>
      <xdr:rowOff>85724</xdr:rowOff>
    </xdr:to>
    <xdr:sp macro="" textlink="">
      <xdr:nvSpPr>
        <xdr:cNvPr id="27" name="Arredondar Retângulo no Mesmo Canto Lateral 26"/>
        <xdr:cNvSpPr/>
      </xdr:nvSpPr>
      <xdr:spPr>
        <a:xfrm>
          <a:off x="2447924" y="3886200"/>
          <a:ext cx="9763125" cy="476249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 i="0" u="none" strike="noStrike">
              <a:solidFill>
                <a:schemeClr val="bg1"/>
              </a:solidFill>
              <a:latin typeface="Bahnschrift" panose="020B0502040204020203" pitchFamily="34" charset="0"/>
            </a:rPr>
            <a:t>TOTAL</a:t>
          </a:r>
          <a:r>
            <a:rPr lang="en-US" sz="1400" b="0" i="0" u="none" strike="noStrike" baseline="0">
              <a:solidFill>
                <a:schemeClr val="bg1"/>
              </a:solidFill>
              <a:latin typeface="Bahnschrift" panose="020B0502040204020203" pitchFamily="34" charset="0"/>
            </a:rPr>
            <a:t> SUBSCRIPTIONS</a:t>
          </a:r>
          <a:r>
            <a:rPr lang="en-US" sz="1200" b="0" i="0" u="none" strike="noStrike" baseline="0">
              <a:solidFill>
                <a:schemeClr val="bg1"/>
              </a:solidFill>
              <a:latin typeface="Bahnschrift" panose="020B0502040204020203" pitchFamily="34" charset="0"/>
            </a:rPr>
            <a:t> </a:t>
          </a:r>
          <a:r>
            <a:rPr lang="en-US" sz="1400" b="0" i="0" u="none" strike="noStrike" baseline="0">
              <a:solidFill>
                <a:schemeClr val="bg1"/>
              </a:solidFill>
              <a:latin typeface="Bahnschrift" panose="020B0502040204020203" pitchFamily="34" charset="0"/>
            </a:rPr>
            <a:t>XBOX GAMEPASS</a:t>
          </a:r>
          <a:endParaRPr lang="en-US" sz="1400" b="0" i="0" u="none" strike="noStrike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0</xdr:col>
      <xdr:colOff>209209</xdr:colOff>
      <xdr:row>6</xdr:row>
      <xdr:rowOff>68713</xdr:rowOff>
    </xdr:from>
    <xdr:to>
      <xdr:col>0</xdr:col>
      <xdr:colOff>590550</xdr:colOff>
      <xdr:row>6</xdr:row>
      <xdr:rowOff>393560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xmlns="" id="{EAED0B10-9B9B-4C87-AA2F-D30DEB957E50}"/>
            </a:ext>
          </a:extLst>
        </xdr:cNvPr>
        <xdr:cNvSpPr/>
      </xdr:nvSpPr>
      <xdr:spPr>
        <a:xfrm>
          <a:off x="209209" y="1202188"/>
          <a:ext cx="381341" cy="324847"/>
        </a:xfrm>
        <a:prstGeom prst="ellipse">
          <a:avLst/>
        </a:prstGeom>
        <a:blipFill>
          <a:blip xmlns:r="http://schemas.openxmlformats.org/officeDocument/2006/relationships" r:embed="rId1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561975</xdr:colOff>
      <xdr:row>6</xdr:row>
      <xdr:rowOff>0</xdr:rowOff>
    </xdr:from>
    <xdr:to>
      <xdr:col>0</xdr:col>
      <xdr:colOff>1905000</xdr:colOff>
      <xdr:row>7</xdr:row>
      <xdr:rowOff>57150</xdr:rowOff>
    </xdr:to>
    <xdr:sp macro="" textlink="">
      <xdr:nvSpPr>
        <xdr:cNvPr id="29" name="Retângulo de cantos arredondados 28"/>
        <xdr:cNvSpPr/>
      </xdr:nvSpPr>
      <xdr:spPr>
        <a:xfrm>
          <a:off x="561975" y="1133475"/>
          <a:ext cx="1343025" cy="476250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latin typeface="Bahnschrift" panose="020B0502040204020203" pitchFamily="34" charset="0"/>
            </a:rPr>
            <a:t>Bem</a:t>
          </a:r>
          <a:r>
            <a:rPr lang="pt-BR" sz="900" baseline="0">
              <a:latin typeface="Bahnschrift" panose="020B0502040204020203" pitchFamily="34" charset="0"/>
            </a:rPr>
            <a:t> vindo de volta, Roberto.</a:t>
          </a:r>
          <a:endParaRPr lang="pt-BR" sz="900">
            <a:latin typeface="Bahnschrift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mário" refreshedDate="46128.937150115744" createdVersion="5" refreshedVersion="5" minRefreshableVersion="3" recordCount="293">
  <cacheSource type="worksheet">
    <worksheetSource ref="A1:M294" sheet="B̳ases"/>
  </cacheSource>
  <cacheFields count="13">
    <cacheField name="Subscriber ID" numFmtId="0">
      <sharedItems containsSemiMixedTypes="0" containsString="0" containsNumber="1" containsInteger="1" minValue="3231" maxValue="3523"/>
    </cacheField>
    <cacheField name="Name" numFmtId="0">
      <sharedItems count="278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3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6" cacheId="1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B55:C59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Valor anual EA SP" cacheId="1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B39:C4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Valor Anual" cacheId="1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5">
  <location ref="D12:E16" firstHeaderRow="1" firstDataRow="1" firstDataCol="1"/>
  <pivotFields count="13">
    <pivotField showAll="0"/>
    <pivotField showAll="0">
      <items count="279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13"/>
        <item x="115"/>
        <item x="164"/>
        <item x="91"/>
        <item x="188"/>
        <item x="19"/>
        <item x="209"/>
        <item x="116"/>
        <item x="257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Row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dataField="1" numFmtId="44" showAll="0"/>
  </pivotFields>
  <rowFields count="2">
    <field x="6"/>
    <field x="4"/>
  </rowFields>
  <rowItems count="4">
    <i>
      <x v="1"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Valor Anual"/>
    <pivotTable tabId="3" name="Valor anual EA SP"/>
    <pivotTable tabId="3" name="Tabela dinâmica6"/>
  </pivotTables>
  <data>
    <tabular pivotCacheId="1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 1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id="1" name="Tabela1" displayName="Tabela1" ref="A1:M296" totalsRowShown="0" dataDxfId="15">
  <autoFilter ref="A1:M296">
    <filterColumn colId="7">
      <filters>
        <filter val="Yes"/>
      </filters>
    </filterColumn>
  </autoFilter>
  <tableColumns count="13">
    <tableColumn id="1" name="Subscriber ID" dataDxfId="14"/>
    <tableColumn id="2" name="Name" dataDxfId="13"/>
    <tableColumn id="3" name="Plan" dataDxfId="12"/>
    <tableColumn id="4" name="Start Date" dataDxfId="11"/>
    <tableColumn id="5" name="Auto Renewal" dataDxfId="10"/>
    <tableColumn id="6" name="Subscription Price" dataDxfId="9" dataCellStyle="Moeda"/>
    <tableColumn id="7" name="Subscription Type" dataDxfId="8"/>
    <tableColumn id="8" name="EA Play Season Pass" dataDxfId="7"/>
    <tableColumn id="13" name="EA Play Season Pass_x000a_Price" dataDxfId="6" dataCellStyle="Moeda"/>
    <tableColumn id="9" name="Minecraft Season Pass" dataDxfId="5"/>
    <tableColumn id="10" name="Minecraft Season Pass Price" dataDxfId="4" dataCellStyle="Moeda"/>
    <tableColumn id="11" name="Coupon Value" dataDxfId="3" dataCellStyle="Moeda"/>
    <tableColumn id="12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Normal="100" workbookViewId="0">
      <selection activeCell="F31" sqref="F31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  <c r="E6" s="7"/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  <c r="D8" s="6"/>
      <c r="E8" s="4"/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A174" zoomScale="90" zoomScaleNormal="90" workbookViewId="0">
      <selection sqref="A1:M294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6:E62"/>
  <sheetViews>
    <sheetView showGridLines="0" topLeftCell="A31" workbookViewId="0">
      <selection activeCell="E64" sqref="E64"/>
    </sheetView>
  </sheetViews>
  <sheetFormatPr defaultRowHeight="14.25"/>
  <cols>
    <col min="2" max="2" width="18" customWidth="1"/>
    <col min="3" max="3" width="35.125" customWidth="1"/>
    <col min="4" max="4" width="18" customWidth="1"/>
    <col min="5" max="5" width="19.125" customWidth="1"/>
    <col min="6" max="11" width="19.5" customWidth="1"/>
    <col min="12" max="99" width="19.5" bestFit="1" customWidth="1"/>
    <col min="100" max="100" width="10.75" bestFit="1" customWidth="1"/>
  </cols>
  <sheetData>
    <row r="6" spans="3:5">
      <c r="C6" t="s">
        <v>313</v>
      </c>
    </row>
    <row r="9" spans="3:5">
      <c r="C9" t="s">
        <v>314</v>
      </c>
    </row>
    <row r="12" spans="3:5">
      <c r="D12" s="12" t="s">
        <v>315</v>
      </c>
      <c r="E12" t="s">
        <v>318</v>
      </c>
    </row>
    <row r="13" spans="3:5">
      <c r="D13" s="13" t="s">
        <v>20</v>
      </c>
      <c r="E13" s="15">
        <v>3567</v>
      </c>
    </row>
    <row r="14" spans="3:5">
      <c r="D14" s="14" t="s">
        <v>23</v>
      </c>
      <c r="E14" s="15">
        <v>2820</v>
      </c>
    </row>
    <row r="15" spans="3:5">
      <c r="D15" s="14" t="s">
        <v>19</v>
      </c>
      <c r="E15" s="15">
        <v>747</v>
      </c>
    </row>
    <row r="16" spans="3:5">
      <c r="D16" s="13" t="s">
        <v>316</v>
      </c>
      <c r="E16" s="15">
        <v>3567</v>
      </c>
    </row>
    <row r="33" spans="2:3">
      <c r="C33" t="s">
        <v>320</v>
      </c>
    </row>
    <row r="34" spans="2:3">
      <c r="C34" t="s">
        <v>323</v>
      </c>
    </row>
    <row r="37" spans="2:3">
      <c r="B37" s="12" t="s">
        <v>16</v>
      </c>
      <c r="C37" t="s">
        <v>20</v>
      </c>
    </row>
    <row r="39" spans="2:3">
      <c r="B39" s="12" t="s">
        <v>315</v>
      </c>
      <c r="C39" t="s">
        <v>321</v>
      </c>
    </row>
    <row r="40" spans="2:3">
      <c r="B40" s="13" t="s">
        <v>22</v>
      </c>
      <c r="C40" s="15">
        <v>0</v>
      </c>
    </row>
    <row r="41" spans="2:3">
      <c r="B41" s="13" t="s">
        <v>26</v>
      </c>
      <c r="C41" s="15">
        <v>0</v>
      </c>
    </row>
    <row r="42" spans="2:3">
      <c r="B42" s="13" t="s">
        <v>18</v>
      </c>
      <c r="C42" s="15">
        <v>1350</v>
      </c>
    </row>
    <row r="43" spans="2:3">
      <c r="B43" s="13" t="s">
        <v>316</v>
      </c>
      <c r="C43" s="15">
        <v>1350</v>
      </c>
    </row>
    <row r="45" spans="2:3">
      <c r="C45" s="17">
        <f>GETPIVOTDATA("EA Play Season Pass
Price",$B$39)</f>
        <v>1350</v>
      </c>
    </row>
    <row r="49" spans="2:3">
      <c r="C49" t="s">
        <v>324</v>
      </c>
    </row>
    <row r="53" spans="2:3">
      <c r="B53" s="12" t="s">
        <v>16</v>
      </c>
      <c r="C53" t="s">
        <v>20</v>
      </c>
    </row>
    <row r="55" spans="2:3">
      <c r="B55" s="12" t="s">
        <v>315</v>
      </c>
      <c r="C55" t="s">
        <v>317</v>
      </c>
    </row>
    <row r="56" spans="2:3">
      <c r="B56" s="13" t="s">
        <v>22</v>
      </c>
      <c r="C56" s="15">
        <v>0</v>
      </c>
    </row>
    <row r="57" spans="2:3">
      <c r="B57" s="13" t="s">
        <v>26</v>
      </c>
      <c r="C57" s="15">
        <v>900</v>
      </c>
    </row>
    <row r="58" spans="2:3">
      <c r="B58" s="13" t="s">
        <v>18</v>
      </c>
      <c r="C58" s="15">
        <v>900</v>
      </c>
    </row>
    <row r="59" spans="2:3">
      <c r="B59" s="13" t="s">
        <v>316</v>
      </c>
      <c r="C59" s="15">
        <v>1800</v>
      </c>
    </row>
    <row r="61" spans="2:3">
      <c r="C61" s="17">
        <f>GETPIVOTDATA("Minecraft Season Pass Price",$B$55)</f>
        <v>1800</v>
      </c>
    </row>
    <row r="62" spans="2:3">
      <c r="C62" t="s">
        <v>325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75"/>
  <sheetViews>
    <sheetView showGridLines="0" tabSelected="1" zoomScaleNormal="100" workbookViewId="0">
      <selection activeCell="D7" sqref="D7"/>
    </sheetView>
  </sheetViews>
  <sheetFormatPr defaultRowHeight="14.25"/>
  <cols>
    <col min="1" max="1" width="26.75" style="4" customWidth="1"/>
    <col min="2" max="2" width="3.625" customWidth="1"/>
    <col min="3" max="3" width="6" customWidth="1"/>
    <col min="12" max="12" width="6.625" customWidth="1"/>
  </cols>
  <sheetData>
    <row r="2" spans="2:40" ht="39" customHeight="1" thickBot="1">
      <c r="D2" s="16" t="s">
        <v>319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40" ht="8.25" customHeight="1" thickTop="1"/>
    <row r="4" spans="2:40" ht="7.5" customHeight="1"/>
    <row r="5" spans="2:40" ht="10.5" customHeight="1"/>
    <row r="6" spans="2:40" ht="12.75" customHeight="1"/>
    <row r="7" spans="2:40" ht="27.75" customHeight="1">
      <c r="B7" s="7"/>
      <c r="C7" s="7"/>
      <c r="D7" s="18" t="s">
        <v>326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2:40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2:40" ht="15" customHeight="1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2:40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2:40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2:40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2:40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2:40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2:40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2:40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2:40">
      <c r="B17" s="7"/>
      <c r="C17" s="7"/>
      <c r="D17" s="7"/>
      <c r="E17" s="7"/>
      <c r="F17" s="7"/>
      <c r="G17" s="7"/>
      <c r="H17" s="7"/>
      <c r="I17" s="7"/>
      <c r="J17" s="7"/>
      <c r="K17" s="7" t="s">
        <v>322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2:40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2:40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2:40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2:40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2:40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2:40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2:40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2:40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 t="s">
        <v>322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2:40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2:40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2:40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2:40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2:40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2:40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2:40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2:40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2:40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2:40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2:40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2:40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2:40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2:40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2:40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2:40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2:40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2:40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2:40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2:40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2:40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2:40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2:40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2:40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2:40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2:40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2:40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2:40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2:40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2:40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2:40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2:40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2:40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2:40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2:40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2:40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2:40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2:40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2:40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2:40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2:40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2:40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2:40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2:40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2:40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2:40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2:40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2:40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2:40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2:40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Romário</cp:lastModifiedBy>
  <dcterms:created xsi:type="dcterms:W3CDTF">2024-12-19T13:13:10Z</dcterms:created>
  <dcterms:modified xsi:type="dcterms:W3CDTF">2026-04-17T02:53:25Z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